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420" windowWidth="19815" windowHeight="7665" activeTab="1"/>
  </bookViews>
  <sheets>
    <sheet name="Sheet1" sheetId="1" r:id="rId1"/>
    <sheet name="Assignment-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L3" i="2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2"/>
  <c r="I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J2"/>
  <c r="K2"/>
  <c r="J24"/>
  <c r="J14"/>
  <c r="J13"/>
  <c r="J3"/>
  <c r="J4"/>
  <c r="J5"/>
  <c r="J6"/>
  <c r="J7"/>
  <c r="J8"/>
  <c r="J9"/>
  <c r="J10"/>
  <c r="J11"/>
  <c r="J12"/>
  <c r="J15"/>
  <c r="J16"/>
  <c r="J17"/>
  <c r="J18"/>
  <c r="J19"/>
  <c r="J20"/>
  <c r="J21"/>
  <c r="J22"/>
  <c r="J23"/>
  <c r="J25"/>
  <c r="J26"/>
  <c r="J27"/>
  <c r="J28"/>
  <c r="J29"/>
  <c r="J30"/>
  <c r="J31"/>
  <c r="J32"/>
  <c r="H25"/>
  <c r="H26"/>
  <c r="H27"/>
  <c r="H28"/>
  <c r="H29"/>
  <c r="H30"/>
  <c r="H31"/>
  <c r="H32"/>
  <c r="H16"/>
  <c r="H17"/>
  <c r="H18"/>
  <c r="H19"/>
  <c r="H20"/>
  <c r="H21"/>
  <c r="H22"/>
  <c r="H23"/>
  <c r="H8"/>
  <c r="H9"/>
  <c r="H10"/>
  <c r="H11"/>
  <c r="H12"/>
  <c r="H3"/>
  <c r="H4"/>
  <c r="H5"/>
  <c r="G28"/>
  <c r="G29"/>
  <c r="G30"/>
  <c r="G31"/>
  <c r="G32"/>
  <c r="G23"/>
  <c r="G24"/>
  <c r="G25"/>
  <c r="G9"/>
  <c r="G10"/>
  <c r="G11"/>
  <c r="G12"/>
  <c r="G13"/>
  <c r="G14"/>
  <c r="G15"/>
  <c r="G16"/>
  <c r="G17"/>
  <c r="G18"/>
  <c r="G19"/>
  <c r="G20"/>
  <c r="G4"/>
  <c r="G5"/>
  <c r="G6"/>
  <c r="H13"/>
  <c r="H14"/>
  <c r="H15"/>
  <c r="H24"/>
  <c r="H6"/>
  <c r="H7"/>
  <c r="H2"/>
  <c r="G2"/>
  <c r="I9"/>
  <c r="I10"/>
  <c r="I11"/>
  <c r="I12"/>
  <c r="I13"/>
  <c r="I14"/>
  <c r="I15"/>
  <c r="I16"/>
  <c r="I17"/>
  <c r="I18"/>
  <c r="I19"/>
  <c r="I20"/>
  <c r="G21"/>
  <c r="I21"/>
  <c r="G22"/>
  <c r="I22"/>
  <c r="I23"/>
  <c r="I24"/>
  <c r="I25"/>
  <c r="G26"/>
  <c r="I26"/>
  <c r="G27"/>
  <c r="I27"/>
  <c r="I28"/>
  <c r="I29"/>
  <c r="I30"/>
  <c r="I31"/>
  <c r="I32"/>
  <c r="I3"/>
  <c r="I4"/>
  <c r="I5"/>
  <c r="I6"/>
  <c r="I7"/>
  <c r="I8"/>
  <c r="G3"/>
  <c r="G7"/>
  <c r="G8"/>
</calcChain>
</file>

<file path=xl/sharedStrings.xml><?xml version="1.0" encoding="utf-8"?>
<sst xmlns="http://schemas.openxmlformats.org/spreadsheetml/2006/main" count="153" uniqueCount="124">
  <si>
    <t>Perform the following in the dataset from the 'Dataset' sheet.</t>
  </si>
  <si>
    <t>1) Handling Missing Values:</t>
  </si>
  <si>
    <t>• Check for missing values in the 'Price' column. How would you handle products with missing price information?</t>
  </si>
  <si>
    <t>• If there are products with missing categories, propose a strategy to impute or deal with these missing values effectively.</t>
  </si>
  <si>
    <t>2) Correcting Inconsistent Data:</t>
  </si>
  <si>
    <t>• Identify any inconsistent text formats present in the "Product Name" column.</t>
  </si>
  <si>
    <t>• Identify any typos present in the "Category" column.</t>
  </si>
  <si>
    <t>• Use the find and replace function to standardize the text formats in the "Product Name" column and fix any typos or misspellings in the "Category" column.</t>
  </si>
  <si>
    <t>3) Removing Duplicates:</t>
  </si>
  <si>
    <t>• Identify any duplicate rows within the dataset based on the entirety of each row, and remove them if any.</t>
  </si>
  <si>
    <t>4) Splitting and Merging Data:</t>
  </si>
  <si>
    <t>• Split the "Product ID" column into two separate columns for " Manufacturing Date" and "Country Code". Remove unnecessary characters, if any.</t>
  </si>
  <si>
    <t>• Merge the "Brand Name" and "Product Name" columns into one column named "Product Brand".</t>
  </si>
  <si>
    <t>5) Number Formatting:</t>
  </si>
  <si>
    <t>• Format the data type of the "Price" column to currency format.</t>
  </si>
  <si>
    <t>• Format the "Manufacturing Date" column to display dates in the "DD-MM-YYYY " format.</t>
  </si>
  <si>
    <t>6) Conditional Formatting:</t>
  </si>
  <si>
    <t>• Apply data bar or color scales conditional formatting in the "Price" column.</t>
  </si>
  <si>
    <t>• Create a custom rule for conditional formatting in the "Category" column to highlight cells where the category is "Electronics."</t>
  </si>
  <si>
    <t>Product ID</t>
  </si>
  <si>
    <t>Product Name</t>
  </si>
  <si>
    <t>Brand Name</t>
  </si>
  <si>
    <t>Price ($)</t>
  </si>
  <si>
    <t>Quantity</t>
  </si>
  <si>
    <t>Category</t>
  </si>
  <si>
    <t>28-JAN-US</t>
  </si>
  <si>
    <t>laptop</t>
  </si>
  <si>
    <t>Dell</t>
  </si>
  <si>
    <t>Electronics</t>
  </si>
  <si>
    <t>15-FEB-US</t>
  </si>
  <si>
    <t>Sneakers</t>
  </si>
  <si>
    <t>Nike</t>
  </si>
  <si>
    <t>Fashion</t>
  </si>
  <si>
    <t>03-MAR-US</t>
  </si>
  <si>
    <t>Coffee Maker</t>
  </si>
  <si>
    <t>Keurig</t>
  </si>
  <si>
    <t>Kitchen</t>
  </si>
  <si>
    <t>11-APR-US</t>
  </si>
  <si>
    <t>smartphone</t>
  </si>
  <si>
    <t>Samsung</t>
  </si>
  <si>
    <t>22-MAY-US</t>
  </si>
  <si>
    <t>Backpack</t>
  </si>
  <si>
    <t>North Face</t>
  </si>
  <si>
    <t>07-JUN-UK</t>
  </si>
  <si>
    <t>Headphones</t>
  </si>
  <si>
    <t>Sony</t>
  </si>
  <si>
    <t>19-JUL-UK</t>
  </si>
  <si>
    <t>T-shirt</t>
  </si>
  <si>
    <t>Adidas</t>
  </si>
  <si>
    <t>23-AUG-UK</t>
  </si>
  <si>
    <t>Blender</t>
  </si>
  <si>
    <t>Ninja</t>
  </si>
  <si>
    <t>05-SEP-UK</t>
  </si>
  <si>
    <t>Tablet</t>
  </si>
  <si>
    <t>Apple</t>
  </si>
  <si>
    <t>14-OCT-UK</t>
  </si>
  <si>
    <t>Hiking Boots</t>
  </si>
  <si>
    <t>Timberland</t>
  </si>
  <si>
    <t>Outdoor</t>
  </si>
  <si>
    <t>17-JUN-IN</t>
  </si>
  <si>
    <t>Laptop</t>
  </si>
  <si>
    <t>HP</t>
  </si>
  <si>
    <t>25-NOV-AU</t>
  </si>
  <si>
    <t>08-DEC-DE</t>
  </si>
  <si>
    <t>Nespresso</t>
  </si>
  <si>
    <t>18-FEB-CA</t>
  </si>
  <si>
    <t>Smartwatch</t>
  </si>
  <si>
    <t>Fitbit</t>
  </si>
  <si>
    <t>16-APR-ES</t>
  </si>
  <si>
    <t>headphones</t>
  </si>
  <si>
    <t>Bose</t>
  </si>
  <si>
    <t>21-AUG-CA</t>
  </si>
  <si>
    <t>Laptop Bag</t>
  </si>
  <si>
    <t>Samsonite</t>
  </si>
  <si>
    <t>Accessories</t>
  </si>
  <si>
    <t>20-AUG-CN</t>
  </si>
  <si>
    <t>Huawei</t>
  </si>
  <si>
    <t>27-JAN-IT</t>
  </si>
  <si>
    <t>Asus</t>
  </si>
  <si>
    <t>01-MAR-UK</t>
  </si>
  <si>
    <t>Sunglasses</t>
  </si>
  <si>
    <t>Oakley</t>
  </si>
  <si>
    <t>14-AUG-US</t>
  </si>
  <si>
    <t>Camping Tent</t>
  </si>
  <si>
    <t>Coleman</t>
  </si>
  <si>
    <t>14-MAY-RU</t>
  </si>
  <si>
    <t>Camera</t>
  </si>
  <si>
    <t>Nikon</t>
  </si>
  <si>
    <t>09-JAN-CA</t>
  </si>
  <si>
    <t>Microwave</t>
  </si>
  <si>
    <t>Panasonic</t>
  </si>
  <si>
    <t>19-JUL-BR</t>
  </si>
  <si>
    <t>Fitness Tracker</t>
  </si>
  <si>
    <t>Xiaomi</t>
  </si>
  <si>
    <t>29-SEP-CA</t>
  </si>
  <si>
    <t>Smartphone</t>
  </si>
  <si>
    <t>Google</t>
  </si>
  <si>
    <t>03-JUN-CA</t>
  </si>
  <si>
    <t>Ray-Ban</t>
  </si>
  <si>
    <t>11-JUL-CA</t>
  </si>
  <si>
    <t>Vitamix</t>
  </si>
  <si>
    <t>07-MAR-CA</t>
  </si>
  <si>
    <t>Dress</t>
  </si>
  <si>
    <t>Zara</t>
  </si>
  <si>
    <t>13-APR-CA</t>
  </si>
  <si>
    <t>Toaster</t>
  </si>
  <si>
    <t>Hamilton</t>
  </si>
  <si>
    <t>24-MAY-CA</t>
  </si>
  <si>
    <t>Garmin</t>
  </si>
  <si>
    <t>02-DEC-CA</t>
  </si>
  <si>
    <t>Jeans</t>
  </si>
  <si>
    <t>Levi's</t>
  </si>
  <si>
    <t>09-JUL-FR</t>
  </si>
  <si>
    <t>Watch</t>
  </si>
  <si>
    <t>Casio</t>
  </si>
  <si>
    <t>AVERAGE FOR PRICE</t>
  </si>
  <si>
    <t>MISSING CATEGORY</t>
  </si>
  <si>
    <t xml:space="preserve"> Correcting Inconsistent Data</t>
  </si>
  <si>
    <t>Electronicscs</t>
  </si>
  <si>
    <t>correcting typos and missing text</t>
  </si>
  <si>
    <t>MISSING PRICE</t>
  </si>
  <si>
    <t>MANUFACTURING DATE</t>
  </si>
  <si>
    <t>COUNTRY CODE</t>
  </si>
  <si>
    <t>PRODUCT BRAND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</si>
</sst>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&quot;$&quot;#,##0.00"/>
  </numFmts>
  <fonts count="1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0"/>
      <color theme="1" tint="4.9989318521683403E-2"/>
      <name val="Arial"/>
      <family val="2"/>
    </font>
    <font>
      <b/>
      <sz val="9"/>
      <color theme="1" tint="4.9989318521683403E-2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4DD0E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F7F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/>
    <xf numFmtId="0" fontId="4" fillId="0" borderId="0" xfId="0" applyFont="1"/>
    <xf numFmtId="0" fontId="2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right" wrapText="1"/>
    </xf>
    <xf numFmtId="0" fontId="2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right" wrapText="1"/>
    </xf>
    <xf numFmtId="0" fontId="5" fillId="3" borderId="1" xfId="0" applyFont="1" applyFill="1" applyBorder="1" applyAlignment="1">
      <alignment wrapText="1"/>
    </xf>
    <xf numFmtId="0" fontId="6" fillId="5" borderId="1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2" fillId="4" borderId="3" xfId="0" applyFont="1" applyFill="1" applyBorder="1" applyAlignment="1">
      <alignment wrapText="1"/>
    </xf>
    <xf numFmtId="164" fontId="0" fillId="0" borderId="0" xfId="1" applyNumberFormat="1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4" borderId="7" xfId="0" applyFont="1" applyFill="1" applyBorder="1" applyAlignment="1">
      <alignment wrapText="1"/>
    </xf>
    <xf numFmtId="0" fontId="2" fillId="4" borderId="8" xfId="0" applyFont="1" applyFill="1" applyBorder="1" applyAlignment="1">
      <alignment wrapText="1"/>
    </xf>
    <xf numFmtId="0" fontId="2" fillId="4" borderId="8" xfId="0" applyFont="1" applyFill="1" applyBorder="1" applyAlignment="1">
      <alignment horizontal="right" wrapText="1"/>
    </xf>
    <xf numFmtId="0" fontId="6" fillId="5" borderId="8" xfId="0" applyFont="1" applyFill="1" applyBorder="1" applyAlignment="1">
      <alignment wrapText="1"/>
    </xf>
    <xf numFmtId="0" fontId="9" fillId="2" borderId="4" xfId="0" applyFont="1" applyFill="1" applyBorder="1" applyAlignment="1">
      <alignment horizontal="center" wrapText="1"/>
    </xf>
    <xf numFmtId="0" fontId="9" fillId="2" borderId="5" xfId="0" applyFont="1" applyFill="1" applyBorder="1" applyAlignment="1">
      <alignment horizontal="center" wrapText="1"/>
    </xf>
    <xf numFmtId="0" fontId="10" fillId="2" borderId="2" xfId="0" applyFont="1" applyFill="1" applyBorder="1" applyAlignment="1">
      <alignment horizontal="center" wrapText="1"/>
    </xf>
    <xf numFmtId="0" fontId="10" fillId="2" borderId="6" xfId="0" applyFont="1" applyFill="1" applyBorder="1" applyAlignment="1">
      <alignment horizontal="center" wrapText="1"/>
    </xf>
    <xf numFmtId="0" fontId="7" fillId="6" borderId="0" xfId="0" applyFont="1" applyFill="1" applyBorder="1"/>
    <xf numFmtId="164" fontId="0" fillId="7" borderId="0" xfId="1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6">
    <dxf>
      <alignment horizontal="center" vertical="bottom" textRotation="0" wrapText="0" indent="0" relativeIndent="0" justifyLastLine="0" shrinkToFit="0" mergeCell="0" readingOrder="0"/>
    </dxf>
    <dxf>
      <numFmt numFmtId="2" formatCode="0.00"/>
      <alignment horizontal="center" vertical="bottom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.00"/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E0F7FA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E0F7FA"/>
        </patternFill>
      </fill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E0F7FA"/>
        </patternFill>
      </fill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E0F7FA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E0F7FA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E0F7FA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Arial Black"/>
        <scheme val="none"/>
      </font>
      <fill>
        <patternFill patternType="solid">
          <fgColor indexed="64"/>
          <bgColor rgb="FF4DD0E1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N32" totalsRowShown="0" headerRowDxfId="13" tableBorderDxfId="12">
  <autoFilter ref="A1:N32"/>
  <tableColumns count="14">
    <tableColumn id="1" name="Product ID" dataDxfId="11"/>
    <tableColumn id="2" name="Product Name" dataDxfId="10"/>
    <tableColumn id="3" name="Brand Name" dataDxfId="9"/>
    <tableColumn id="4" name="Price ($)" dataDxfId="8"/>
    <tableColumn id="5" name="Quantity" dataDxfId="7"/>
    <tableColumn id="6" name="Category" dataDxfId="6"/>
    <tableColumn id="7" name="MISSING PRICE" dataDxfId="5">
      <calculatedColumnFormula>ISBLANK(D2:D35)</calculatedColumnFormula>
    </tableColumn>
    <tableColumn id="8" name="MISSING CATEGORY" dataDxfId="4">
      <calculatedColumnFormula>ISBLANK(F2:F35)</calculatedColumnFormula>
    </tableColumn>
    <tableColumn id="9" name="AVERAGE FOR PRICE" dataDxfId="3" dataCellStyle="Currency">
      <calculatedColumnFormula>IF(ISBLANK(D2),ROUND(AVERAGE(D2:D35),0),D2)</calculatedColumnFormula>
    </tableColumn>
    <tableColumn id="10" name="correcting typos and missing text">
      <calculatedColumnFormula>IF(ISBLANK(F2),"unknown",F2)</calculatedColumnFormula>
    </tableColumn>
    <tableColumn id="11" name=" Correcting Inconsistent Data" dataDxfId="2">
      <calculatedColumnFormula>PROPER(B2:B35)</calculatedColumnFormula>
    </tableColumn>
    <tableColumn id="12" name="MANUFACTURING DATE" dataDxfId="1">
      <calculatedColumnFormula>LEFT(A2,6)</calculatedColumnFormula>
    </tableColumn>
    <tableColumn id="13" name="COUNTRY CODE" dataDxfId="0">
      <calculatedColumnFormula>RIGHT(A2,2)</calculatedColumnFormula>
    </tableColumn>
    <tableColumn id="14" name="PRODUCT BRAND">
      <calculatedColumnFormula>CONCATENATE(C2," ",B2)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988"/>
  <sheetViews>
    <sheetView topLeftCell="A4" workbookViewId="0">
      <selection activeCell="C31" sqref="C31"/>
    </sheetView>
  </sheetViews>
  <sheetFormatPr defaultRowHeight="15"/>
  <sheetData>
    <row r="1" spans="1:26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>
      <c r="A3" s="2"/>
      <c r="B3" s="3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.75">
      <c r="A4" s="2"/>
      <c r="B4" s="2"/>
      <c r="C4" s="4" t="s">
        <v>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.75">
      <c r="A5" s="2"/>
      <c r="B5" s="2"/>
      <c r="C5" s="4" t="s">
        <v>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.75">
      <c r="A7" s="2"/>
      <c r="B7" s="3" t="s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.75">
      <c r="A8" s="2"/>
      <c r="B8" s="2"/>
      <c r="C8" s="4" t="s">
        <v>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.75">
      <c r="A9" s="2"/>
      <c r="B9" s="2"/>
      <c r="C9" s="4" t="s">
        <v>6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.75">
      <c r="A10" s="2"/>
      <c r="B10" s="2"/>
      <c r="C10" s="4" t="s">
        <v>7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.75">
      <c r="A12" s="2"/>
      <c r="B12" s="3" t="s"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.75">
      <c r="A13" s="2"/>
      <c r="B13" s="2"/>
      <c r="C13" s="4" t="s">
        <v>9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.75">
      <c r="A15" s="2"/>
      <c r="B15" s="3" t="s">
        <v>10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.75">
      <c r="A16" s="2"/>
      <c r="B16" s="2"/>
      <c r="C16" s="4" t="s">
        <v>11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.75">
      <c r="A17" s="2"/>
      <c r="B17" s="2"/>
      <c r="C17" s="4" t="s">
        <v>12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.75">
      <c r="A19" s="2"/>
      <c r="B19" s="3" t="s">
        <v>13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.75">
      <c r="A20" s="2"/>
      <c r="B20" s="2"/>
      <c r="C20" s="4" t="s">
        <v>14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>
      <c r="A21" s="2"/>
      <c r="B21" s="2"/>
      <c r="C21" s="4" t="s">
        <v>15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>
      <c r="A23" s="2"/>
      <c r="B23" s="3" t="s">
        <v>16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>
      <c r="A24" s="2"/>
      <c r="B24" s="2"/>
      <c r="C24" s="4" t="s">
        <v>17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>
      <c r="A25" s="2"/>
      <c r="B25" s="2"/>
      <c r="C25" s="4" t="s">
        <v>18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32"/>
  <sheetViews>
    <sheetView tabSelected="1" topLeftCell="I1" zoomScale="65" zoomScaleNormal="65" workbookViewId="0">
      <selection sqref="A1:N32"/>
    </sheetView>
  </sheetViews>
  <sheetFormatPr defaultRowHeight="15"/>
  <cols>
    <col min="1" max="1" width="15.28515625" customWidth="1"/>
    <col min="2" max="2" width="18.5703125" customWidth="1"/>
    <col min="3" max="3" width="16.42578125" customWidth="1"/>
    <col min="4" max="4" width="12.85546875" customWidth="1"/>
    <col min="5" max="5" width="12.5703125" customWidth="1"/>
    <col min="6" max="6" width="13.5703125" customWidth="1"/>
    <col min="7" max="7" width="19" customWidth="1"/>
    <col min="8" max="8" width="23.5703125" customWidth="1"/>
    <col min="9" max="9" width="24" customWidth="1"/>
    <col min="10" max="10" width="31.7109375" customWidth="1"/>
    <col min="11" max="11" width="33.140625" customWidth="1"/>
    <col min="12" max="12" width="26.85546875" customWidth="1"/>
    <col min="13" max="13" width="19" customWidth="1"/>
    <col min="14" max="14" width="26.85546875" customWidth="1"/>
    <col min="15" max="15" width="11.85546875" customWidth="1"/>
  </cols>
  <sheetData>
    <row r="1" spans="1:14" ht="29.25" thickBot="1">
      <c r="A1" s="22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3" t="s">
        <v>24</v>
      </c>
      <c r="G1" s="24" t="s">
        <v>120</v>
      </c>
      <c r="H1" s="24" t="s">
        <v>116</v>
      </c>
      <c r="I1" s="24" t="s">
        <v>115</v>
      </c>
      <c r="J1" s="24" t="s">
        <v>119</v>
      </c>
      <c r="K1" s="24" t="s">
        <v>117</v>
      </c>
      <c r="L1" s="24" t="s">
        <v>121</v>
      </c>
      <c r="M1" s="24" t="s">
        <v>122</v>
      </c>
      <c r="N1" s="25" t="s">
        <v>123</v>
      </c>
    </row>
    <row r="2" spans="1:14" ht="15.75" thickBot="1">
      <c r="A2" s="11" t="s">
        <v>25</v>
      </c>
      <c r="B2" s="5" t="s">
        <v>26</v>
      </c>
      <c r="C2" s="5" t="s">
        <v>27</v>
      </c>
      <c r="D2" s="6">
        <v>1000</v>
      </c>
      <c r="E2" s="6">
        <v>30</v>
      </c>
      <c r="F2" s="5" t="s">
        <v>118</v>
      </c>
      <c r="G2" s="10" t="b">
        <f>ISBLANK(D2:D35)</f>
        <v>0</v>
      </c>
      <c r="H2" s="10" t="b">
        <f>ISBLANK(F2:F35)</f>
        <v>0</v>
      </c>
      <c r="I2" s="13">
        <f>IF(ISBLANK(D2),ROUND(AVERAGE(D2:D35),0),D2)</f>
        <v>1000</v>
      </c>
      <c r="J2" s="14" t="str">
        <f t="shared" ref="J2:J32" si="0">IF(ISBLANK(F2),"unknown",F2)</f>
        <v>Electronicscs</v>
      </c>
      <c r="K2" s="15" t="str">
        <f t="shared" ref="K2:K32" si="1">PROPER(B2:B35)</f>
        <v>Laptop</v>
      </c>
      <c r="L2" s="16" t="str">
        <f>LEFT(A2,6)</f>
        <v>28-JAN</v>
      </c>
      <c r="M2" s="17" t="str">
        <f>RIGHT(A2,2)</f>
        <v>US</v>
      </c>
      <c r="N2" s="14" t="str">
        <f>CONCATENATE(C2," ",B2)</f>
        <v>Dell laptop</v>
      </c>
    </row>
    <row r="3" spans="1:14" ht="15.75" thickBot="1">
      <c r="A3" s="12" t="s">
        <v>29</v>
      </c>
      <c r="B3" s="7" t="s">
        <v>30</v>
      </c>
      <c r="C3" s="7" t="s">
        <v>31</v>
      </c>
      <c r="D3" s="8">
        <v>80</v>
      </c>
      <c r="E3" s="8">
        <v>15</v>
      </c>
      <c r="F3" s="7" t="s">
        <v>32</v>
      </c>
      <c r="G3" s="10" t="b">
        <f>ISBLANK(D3:D36)</f>
        <v>0</v>
      </c>
      <c r="H3" s="10" t="b">
        <f>ISBLANK(F3:F36)</f>
        <v>0</v>
      </c>
      <c r="I3" s="13">
        <f>IF(ISBLANK(D3),ROUND(AVERAGE(D3:D36),0),D3)</f>
        <v>80</v>
      </c>
      <c r="J3" s="14" t="str">
        <f t="shared" si="0"/>
        <v>Fashion</v>
      </c>
      <c r="K3" s="15" t="str">
        <f t="shared" si="1"/>
        <v>Sneakers</v>
      </c>
      <c r="L3" s="16" t="str">
        <f t="shared" ref="L3:L32" si="2">LEFT(A3,6)</f>
        <v>15-FEB</v>
      </c>
      <c r="M3" s="17" t="str">
        <f t="shared" ref="M3:M32" si="3">RIGHT(A3,2)</f>
        <v>US</v>
      </c>
      <c r="N3" s="14" t="str">
        <f t="shared" ref="N3:N32" si="4">CONCATENATE(C3," ",B3)</f>
        <v>Nike Sneakers</v>
      </c>
    </row>
    <row r="4" spans="1:14" ht="15.75" thickBot="1">
      <c r="A4" s="11" t="s">
        <v>33</v>
      </c>
      <c r="B4" s="5" t="s">
        <v>34</v>
      </c>
      <c r="C4" s="5" t="s">
        <v>35</v>
      </c>
      <c r="D4" s="6">
        <v>130</v>
      </c>
      <c r="E4" s="6">
        <v>40</v>
      </c>
      <c r="F4" s="5" t="s">
        <v>36</v>
      </c>
      <c r="G4" s="10" t="b">
        <f>ISBLANK(D4:D36)</f>
        <v>0</v>
      </c>
      <c r="H4" s="10" t="b">
        <f>ISBLANK(F4:F36)</f>
        <v>0</v>
      </c>
      <c r="I4" s="13">
        <f>IF(ISBLANK(D4),ROUND(AVERAGE(D4:D36),0),D4)</f>
        <v>130</v>
      </c>
      <c r="J4" s="14" t="str">
        <f t="shared" si="0"/>
        <v>Kitchen</v>
      </c>
      <c r="K4" s="15" t="str">
        <f t="shared" si="1"/>
        <v>Coffee Maker</v>
      </c>
      <c r="L4" s="16" t="str">
        <f t="shared" si="2"/>
        <v>03-MAR</v>
      </c>
      <c r="M4" s="17" t="str">
        <f t="shared" si="3"/>
        <v>US</v>
      </c>
      <c r="N4" s="14" t="str">
        <f t="shared" si="4"/>
        <v>Keurig Coffee Maker</v>
      </c>
    </row>
    <row r="5" spans="1:14" ht="15.75" thickBot="1">
      <c r="A5" s="12" t="s">
        <v>37</v>
      </c>
      <c r="B5" s="7" t="s">
        <v>38</v>
      </c>
      <c r="C5" s="7" t="s">
        <v>39</v>
      </c>
      <c r="D5" s="8">
        <v>900</v>
      </c>
      <c r="E5" s="8">
        <v>25</v>
      </c>
      <c r="F5" s="7" t="s">
        <v>118</v>
      </c>
      <c r="G5" s="10" t="b">
        <f>ISBLANK(D5:D36)</f>
        <v>0</v>
      </c>
      <c r="H5" s="10" t="b">
        <f>ISBLANK(F5:F36)</f>
        <v>0</v>
      </c>
      <c r="I5" s="13">
        <f>IF(ISBLANK(D5),ROUND(AVERAGE(D5:D36),0),D5)</f>
        <v>900</v>
      </c>
      <c r="J5" s="14" t="str">
        <f t="shared" si="0"/>
        <v>Electronicscs</v>
      </c>
      <c r="K5" s="15" t="str">
        <f t="shared" si="1"/>
        <v>Smartphone</v>
      </c>
      <c r="L5" s="16" t="str">
        <f t="shared" si="2"/>
        <v>11-APR</v>
      </c>
      <c r="M5" s="17" t="str">
        <f t="shared" si="3"/>
        <v>US</v>
      </c>
      <c r="N5" s="14" t="str">
        <f t="shared" si="4"/>
        <v>Samsung smartphone</v>
      </c>
    </row>
    <row r="6" spans="1:14" ht="19.5" thickBot="1">
      <c r="A6" s="11" t="s">
        <v>40</v>
      </c>
      <c r="B6" s="5" t="s">
        <v>41</v>
      </c>
      <c r="C6" s="5" t="s">
        <v>42</v>
      </c>
      <c r="D6" s="6">
        <v>70</v>
      </c>
      <c r="E6" s="6">
        <v>20</v>
      </c>
      <c r="F6" s="5"/>
      <c r="G6" s="10" t="b">
        <f>ISBLANK(D6:D36)</f>
        <v>0</v>
      </c>
      <c r="H6" s="17" t="b">
        <f>ISBLANK(F6:F36)</f>
        <v>1</v>
      </c>
      <c r="I6" s="13">
        <f>IF(ISBLANK(D6),ROUND(AVERAGE(D6:D36),0),D6)</f>
        <v>70</v>
      </c>
      <c r="J6" s="26" t="str">
        <f t="shared" si="0"/>
        <v>unknown</v>
      </c>
      <c r="K6" s="15" t="str">
        <f t="shared" si="1"/>
        <v>Backpack</v>
      </c>
      <c r="L6" s="16" t="str">
        <f t="shared" si="2"/>
        <v>22-MAY</v>
      </c>
      <c r="M6" s="17" t="str">
        <f t="shared" si="3"/>
        <v>US</v>
      </c>
      <c r="N6" s="14" t="str">
        <f t="shared" si="4"/>
        <v>North Face Backpack</v>
      </c>
    </row>
    <row r="7" spans="1:14" ht="15.75" thickBot="1">
      <c r="A7" s="12" t="s">
        <v>43</v>
      </c>
      <c r="B7" s="7" t="s">
        <v>44</v>
      </c>
      <c r="C7" s="7" t="s">
        <v>45</v>
      </c>
      <c r="D7" s="7"/>
      <c r="E7" s="8">
        <v>45</v>
      </c>
      <c r="F7" s="7" t="s">
        <v>28</v>
      </c>
      <c r="G7" s="9" t="b">
        <f>ISBLANK(D7:D36)</f>
        <v>1</v>
      </c>
      <c r="H7" s="10" t="b">
        <f>ISBLANK(F7:F36)</f>
        <v>0</v>
      </c>
      <c r="I7" s="27">
        <f>IF(ISBLANK(D7),ROUND(AVERAGE(D7:D36),0),D7)</f>
        <v>268</v>
      </c>
      <c r="J7" s="14" t="str">
        <f t="shared" si="0"/>
        <v>Electronics</v>
      </c>
      <c r="K7" s="15" t="str">
        <f t="shared" si="1"/>
        <v>Headphones</v>
      </c>
      <c r="L7" s="16" t="str">
        <f t="shared" si="2"/>
        <v>07-JUN</v>
      </c>
      <c r="M7" s="17" t="str">
        <f t="shared" si="3"/>
        <v>UK</v>
      </c>
      <c r="N7" s="14" t="str">
        <f t="shared" si="4"/>
        <v>Sony Headphones</v>
      </c>
    </row>
    <row r="8" spans="1:14" ht="15.75" thickBot="1">
      <c r="A8" s="11" t="s">
        <v>46</v>
      </c>
      <c r="B8" s="5" t="s">
        <v>47</v>
      </c>
      <c r="C8" s="5" t="s">
        <v>48</v>
      </c>
      <c r="D8" s="6">
        <v>30</v>
      </c>
      <c r="E8" s="6">
        <v>5</v>
      </c>
      <c r="F8" s="5" t="s">
        <v>32</v>
      </c>
      <c r="G8" s="10" t="b">
        <f t="shared" ref="G8:G32" si="5">ISBLANK(D8:D41)</f>
        <v>0</v>
      </c>
      <c r="H8" s="10" t="b">
        <f t="shared" ref="H8:H32" si="6">ISBLANK(F8:F41)</f>
        <v>0</v>
      </c>
      <c r="I8" s="13">
        <f t="shared" ref="I8:I32" si="7">IF(ISBLANK(D8),ROUND(AVERAGE(D8:D41),0),D8)</f>
        <v>30</v>
      </c>
      <c r="J8" s="14" t="str">
        <f t="shared" si="0"/>
        <v>Fashion</v>
      </c>
      <c r="K8" s="15" t="str">
        <f t="shared" si="1"/>
        <v>T-Shirt</v>
      </c>
      <c r="L8" s="16" t="str">
        <f t="shared" si="2"/>
        <v>19-JUL</v>
      </c>
      <c r="M8" s="17" t="str">
        <f t="shared" si="3"/>
        <v>UK</v>
      </c>
      <c r="N8" s="14" t="str">
        <f t="shared" si="4"/>
        <v>Adidas T-shirt</v>
      </c>
    </row>
    <row r="9" spans="1:14" ht="15.75" thickBot="1">
      <c r="A9" s="12" t="s">
        <v>49</v>
      </c>
      <c r="B9" s="7" t="s">
        <v>50</v>
      </c>
      <c r="C9" s="7" t="s">
        <v>51</v>
      </c>
      <c r="D9" s="8">
        <v>90</v>
      </c>
      <c r="E9" s="8">
        <v>35</v>
      </c>
      <c r="F9" s="7" t="s">
        <v>36</v>
      </c>
      <c r="G9" s="10" t="b">
        <f t="shared" si="5"/>
        <v>0</v>
      </c>
      <c r="H9" s="10" t="b">
        <f t="shared" si="6"/>
        <v>0</v>
      </c>
      <c r="I9" s="13">
        <f t="shared" si="7"/>
        <v>90</v>
      </c>
      <c r="J9" s="14" t="str">
        <f t="shared" si="0"/>
        <v>Kitchen</v>
      </c>
      <c r="K9" s="15" t="str">
        <f t="shared" si="1"/>
        <v>Blender</v>
      </c>
      <c r="L9" s="16" t="str">
        <f t="shared" si="2"/>
        <v>23-AUG</v>
      </c>
      <c r="M9" s="17" t="str">
        <f t="shared" si="3"/>
        <v>UK</v>
      </c>
      <c r="N9" s="14" t="str">
        <f t="shared" si="4"/>
        <v>Ninja Blender</v>
      </c>
    </row>
    <row r="10" spans="1:14" ht="15.75" thickBot="1">
      <c r="A10" s="11" t="s">
        <v>52</v>
      </c>
      <c r="B10" s="5" t="s">
        <v>53</v>
      </c>
      <c r="C10" s="5" t="s">
        <v>54</v>
      </c>
      <c r="D10" s="6">
        <v>500</v>
      </c>
      <c r="E10" s="6">
        <v>50</v>
      </c>
      <c r="F10" s="5" t="s">
        <v>118</v>
      </c>
      <c r="G10" s="10" t="b">
        <f t="shared" si="5"/>
        <v>0</v>
      </c>
      <c r="H10" s="10" t="b">
        <f t="shared" si="6"/>
        <v>0</v>
      </c>
      <c r="I10" s="13">
        <f t="shared" si="7"/>
        <v>500</v>
      </c>
      <c r="J10" s="14" t="str">
        <f t="shared" si="0"/>
        <v>Electronicscs</v>
      </c>
      <c r="K10" s="15" t="str">
        <f t="shared" si="1"/>
        <v>Tablet</v>
      </c>
      <c r="L10" s="16" t="str">
        <f t="shared" si="2"/>
        <v>05-SEP</v>
      </c>
      <c r="M10" s="17" t="str">
        <f t="shared" si="3"/>
        <v>UK</v>
      </c>
      <c r="N10" s="14" t="str">
        <f t="shared" si="4"/>
        <v>Apple Tablet</v>
      </c>
    </row>
    <row r="11" spans="1:14" ht="15.75" thickBot="1">
      <c r="A11" s="12" t="s">
        <v>55</v>
      </c>
      <c r="B11" s="7" t="s">
        <v>56</v>
      </c>
      <c r="C11" s="7" t="s">
        <v>57</v>
      </c>
      <c r="D11" s="8">
        <v>130</v>
      </c>
      <c r="E11" s="8">
        <v>10</v>
      </c>
      <c r="F11" s="7" t="s">
        <v>58</v>
      </c>
      <c r="G11" s="10" t="b">
        <f t="shared" si="5"/>
        <v>0</v>
      </c>
      <c r="H11" s="10" t="b">
        <f t="shared" si="6"/>
        <v>0</v>
      </c>
      <c r="I11" s="13">
        <f t="shared" si="7"/>
        <v>130</v>
      </c>
      <c r="J11" s="14" t="str">
        <f t="shared" si="0"/>
        <v>Outdoor</v>
      </c>
      <c r="K11" s="15" t="str">
        <f t="shared" si="1"/>
        <v>Hiking Boots</v>
      </c>
      <c r="L11" s="16" t="str">
        <f t="shared" si="2"/>
        <v>14-OCT</v>
      </c>
      <c r="M11" s="17" t="str">
        <f t="shared" si="3"/>
        <v>UK</v>
      </c>
      <c r="N11" s="14" t="str">
        <f t="shared" si="4"/>
        <v>Timberland Hiking Boots</v>
      </c>
    </row>
    <row r="12" spans="1:14" ht="15.75" thickBot="1">
      <c r="A12" s="11" t="s">
        <v>59</v>
      </c>
      <c r="B12" s="5" t="s">
        <v>60</v>
      </c>
      <c r="C12" s="5" t="s">
        <v>61</v>
      </c>
      <c r="D12" s="6">
        <v>950</v>
      </c>
      <c r="E12" s="6">
        <v>25</v>
      </c>
      <c r="F12" s="5" t="s">
        <v>118</v>
      </c>
      <c r="G12" s="10" t="b">
        <f t="shared" si="5"/>
        <v>0</v>
      </c>
      <c r="H12" s="10" t="b">
        <f t="shared" si="6"/>
        <v>0</v>
      </c>
      <c r="I12" s="13">
        <f t="shared" si="7"/>
        <v>950</v>
      </c>
      <c r="J12" s="14" t="str">
        <f t="shared" si="0"/>
        <v>Electronicscs</v>
      </c>
      <c r="K12" s="15" t="str">
        <f t="shared" si="1"/>
        <v>Laptop</v>
      </c>
      <c r="L12" s="16" t="str">
        <f t="shared" si="2"/>
        <v>17-JUN</v>
      </c>
      <c r="M12" s="17" t="str">
        <f t="shared" si="3"/>
        <v>IN</v>
      </c>
      <c r="N12" s="14" t="str">
        <f t="shared" si="4"/>
        <v>HP Laptop</v>
      </c>
    </row>
    <row r="13" spans="1:14" ht="19.5" thickBot="1">
      <c r="A13" s="12" t="s">
        <v>62</v>
      </c>
      <c r="B13" s="7" t="s">
        <v>30</v>
      </c>
      <c r="C13" s="7" t="s">
        <v>48</v>
      </c>
      <c r="D13" s="8">
        <v>90</v>
      </c>
      <c r="E13" s="8">
        <v>40</v>
      </c>
      <c r="F13" s="7"/>
      <c r="G13" s="10" t="b">
        <f t="shared" si="5"/>
        <v>0</v>
      </c>
      <c r="H13" s="17" t="b">
        <f t="shared" si="6"/>
        <v>1</v>
      </c>
      <c r="I13" s="13">
        <f t="shared" si="7"/>
        <v>90</v>
      </c>
      <c r="J13" s="26" t="str">
        <f t="shared" si="0"/>
        <v>unknown</v>
      </c>
      <c r="K13" s="15" t="str">
        <f t="shared" si="1"/>
        <v>Sneakers</v>
      </c>
      <c r="L13" s="16" t="str">
        <f t="shared" si="2"/>
        <v>25-NOV</v>
      </c>
      <c r="M13" s="17" t="str">
        <f t="shared" si="3"/>
        <v>AU</v>
      </c>
      <c r="N13" s="14" t="str">
        <f t="shared" si="4"/>
        <v>Adidas Sneakers</v>
      </c>
    </row>
    <row r="14" spans="1:14" ht="19.5" thickBot="1">
      <c r="A14" s="11" t="s">
        <v>63</v>
      </c>
      <c r="B14" s="5" t="s">
        <v>34</v>
      </c>
      <c r="C14" s="5" t="s">
        <v>64</v>
      </c>
      <c r="D14" s="6">
        <v>120</v>
      </c>
      <c r="E14" s="6">
        <v>35</v>
      </c>
      <c r="F14" s="5"/>
      <c r="G14" s="10" t="b">
        <f t="shared" si="5"/>
        <v>0</v>
      </c>
      <c r="H14" s="17" t="b">
        <f t="shared" si="6"/>
        <v>1</v>
      </c>
      <c r="I14" s="13">
        <f t="shared" si="7"/>
        <v>120</v>
      </c>
      <c r="J14" s="26" t="str">
        <f t="shared" si="0"/>
        <v>unknown</v>
      </c>
      <c r="K14" s="15" t="str">
        <f t="shared" si="1"/>
        <v>Coffee Maker</v>
      </c>
      <c r="L14" s="16" t="str">
        <f t="shared" si="2"/>
        <v>08-DEC</v>
      </c>
      <c r="M14" s="17" t="str">
        <f t="shared" si="3"/>
        <v>DE</v>
      </c>
      <c r="N14" s="14" t="str">
        <f t="shared" si="4"/>
        <v>Nespresso Coffee Maker</v>
      </c>
    </row>
    <row r="15" spans="1:14" ht="15.75" thickBot="1">
      <c r="A15" s="12" t="s">
        <v>65</v>
      </c>
      <c r="B15" s="7" t="s">
        <v>66</v>
      </c>
      <c r="C15" s="7" t="s">
        <v>67</v>
      </c>
      <c r="D15" s="8">
        <v>150</v>
      </c>
      <c r="E15" s="8">
        <v>15</v>
      </c>
      <c r="F15" s="7" t="s">
        <v>28</v>
      </c>
      <c r="G15" s="10" t="b">
        <f t="shared" si="5"/>
        <v>0</v>
      </c>
      <c r="H15" s="10" t="b">
        <f t="shared" si="6"/>
        <v>0</v>
      </c>
      <c r="I15" s="13">
        <f t="shared" si="7"/>
        <v>150</v>
      </c>
      <c r="J15" s="14" t="str">
        <f t="shared" si="0"/>
        <v>Electronics</v>
      </c>
      <c r="K15" s="15" t="str">
        <f t="shared" si="1"/>
        <v>Smartwatch</v>
      </c>
      <c r="L15" s="16" t="str">
        <f t="shared" si="2"/>
        <v>18-FEB</v>
      </c>
      <c r="M15" s="17" t="str">
        <f t="shared" si="3"/>
        <v>CA</v>
      </c>
      <c r="N15" s="14" t="str">
        <f t="shared" si="4"/>
        <v>Fitbit Smartwatch</v>
      </c>
    </row>
    <row r="16" spans="1:14" ht="15.75" thickBot="1">
      <c r="A16" s="11" t="s">
        <v>68</v>
      </c>
      <c r="B16" s="5" t="s">
        <v>69</v>
      </c>
      <c r="C16" s="5" t="s">
        <v>70</v>
      </c>
      <c r="D16" s="6">
        <v>250</v>
      </c>
      <c r="E16" s="6">
        <v>20</v>
      </c>
      <c r="F16" s="5" t="s">
        <v>28</v>
      </c>
      <c r="G16" s="10" t="b">
        <f t="shared" si="5"/>
        <v>0</v>
      </c>
      <c r="H16" s="10" t="b">
        <f t="shared" si="6"/>
        <v>0</v>
      </c>
      <c r="I16" s="13">
        <f t="shared" si="7"/>
        <v>250</v>
      </c>
      <c r="J16" s="14" t="str">
        <f t="shared" si="0"/>
        <v>Electronics</v>
      </c>
      <c r="K16" s="15" t="str">
        <f t="shared" si="1"/>
        <v>Headphones</v>
      </c>
      <c r="L16" s="16" t="str">
        <f t="shared" si="2"/>
        <v>16-APR</v>
      </c>
      <c r="M16" s="17" t="str">
        <f t="shared" si="3"/>
        <v>ES</v>
      </c>
      <c r="N16" s="14" t="str">
        <f t="shared" si="4"/>
        <v>Bose headphones</v>
      </c>
    </row>
    <row r="17" spans="1:14" ht="15.75" thickBot="1">
      <c r="A17" s="12" t="s">
        <v>71</v>
      </c>
      <c r="B17" s="7" t="s">
        <v>72</v>
      </c>
      <c r="C17" s="7" t="s">
        <v>73</v>
      </c>
      <c r="D17" s="8">
        <v>50</v>
      </c>
      <c r="E17" s="8">
        <v>35</v>
      </c>
      <c r="F17" s="7" t="s">
        <v>74</v>
      </c>
      <c r="G17" s="10" t="b">
        <f t="shared" si="5"/>
        <v>0</v>
      </c>
      <c r="H17" s="10" t="b">
        <f t="shared" si="6"/>
        <v>0</v>
      </c>
      <c r="I17" s="13">
        <f t="shared" si="7"/>
        <v>50</v>
      </c>
      <c r="J17" s="14" t="str">
        <f t="shared" si="0"/>
        <v>Accessories</v>
      </c>
      <c r="K17" s="15" t="str">
        <f t="shared" si="1"/>
        <v>Laptop Bag</v>
      </c>
      <c r="L17" s="16" t="str">
        <f t="shared" si="2"/>
        <v>21-AUG</v>
      </c>
      <c r="M17" s="17" t="str">
        <f t="shared" si="3"/>
        <v>CA</v>
      </c>
      <c r="N17" s="14" t="str">
        <f t="shared" si="4"/>
        <v>Samsonite Laptop Bag</v>
      </c>
    </row>
    <row r="18" spans="1:14" ht="15.75" thickBot="1">
      <c r="A18" s="11" t="s">
        <v>75</v>
      </c>
      <c r="B18" s="5" t="s">
        <v>66</v>
      </c>
      <c r="C18" s="5" t="s">
        <v>76</v>
      </c>
      <c r="D18" s="6">
        <v>160</v>
      </c>
      <c r="E18" s="6">
        <v>15</v>
      </c>
      <c r="F18" s="5" t="s">
        <v>28</v>
      </c>
      <c r="G18" s="10" t="b">
        <f t="shared" si="5"/>
        <v>0</v>
      </c>
      <c r="H18" s="10" t="b">
        <f t="shared" si="6"/>
        <v>0</v>
      </c>
      <c r="I18" s="13">
        <f t="shared" si="7"/>
        <v>160</v>
      </c>
      <c r="J18" s="14" t="str">
        <f t="shared" si="0"/>
        <v>Electronics</v>
      </c>
      <c r="K18" s="15" t="str">
        <f t="shared" si="1"/>
        <v>Smartwatch</v>
      </c>
      <c r="L18" s="16" t="str">
        <f t="shared" si="2"/>
        <v>20-AUG</v>
      </c>
      <c r="M18" s="17" t="str">
        <f t="shared" si="3"/>
        <v>CN</v>
      </c>
      <c r="N18" s="14" t="str">
        <f t="shared" si="4"/>
        <v>Huawei Smartwatch</v>
      </c>
    </row>
    <row r="19" spans="1:14" ht="15.75" thickBot="1">
      <c r="A19" s="12" t="s">
        <v>77</v>
      </c>
      <c r="B19" s="7" t="s">
        <v>26</v>
      </c>
      <c r="C19" s="7" t="s">
        <v>78</v>
      </c>
      <c r="D19" s="8">
        <v>980</v>
      </c>
      <c r="E19" s="8">
        <v>10</v>
      </c>
      <c r="F19" s="7" t="s">
        <v>118</v>
      </c>
      <c r="G19" s="10" t="b">
        <f t="shared" si="5"/>
        <v>0</v>
      </c>
      <c r="H19" s="10" t="b">
        <f t="shared" si="6"/>
        <v>0</v>
      </c>
      <c r="I19" s="13">
        <f t="shared" si="7"/>
        <v>980</v>
      </c>
      <c r="J19" s="14" t="str">
        <f t="shared" si="0"/>
        <v>Electronicscs</v>
      </c>
      <c r="K19" s="15" t="str">
        <f t="shared" si="1"/>
        <v>Laptop</v>
      </c>
      <c r="L19" s="16" t="str">
        <f t="shared" si="2"/>
        <v>27-JAN</v>
      </c>
      <c r="M19" s="17" t="str">
        <f t="shared" si="3"/>
        <v>IT</v>
      </c>
      <c r="N19" s="14" t="str">
        <f t="shared" si="4"/>
        <v>Asus laptop</v>
      </c>
    </row>
    <row r="20" spans="1:14" ht="15.75" thickBot="1">
      <c r="A20" s="11" t="s">
        <v>79</v>
      </c>
      <c r="B20" s="5" t="s">
        <v>80</v>
      </c>
      <c r="C20" s="5" t="s">
        <v>81</v>
      </c>
      <c r="D20" s="6">
        <v>150</v>
      </c>
      <c r="E20" s="6">
        <v>15</v>
      </c>
      <c r="F20" s="5" t="s">
        <v>32</v>
      </c>
      <c r="G20" s="10" t="b">
        <f t="shared" si="5"/>
        <v>0</v>
      </c>
      <c r="H20" s="10" t="b">
        <f t="shared" si="6"/>
        <v>0</v>
      </c>
      <c r="I20" s="13">
        <f t="shared" si="7"/>
        <v>150</v>
      </c>
      <c r="J20" s="14" t="str">
        <f t="shared" si="0"/>
        <v>Fashion</v>
      </c>
      <c r="K20" s="15" t="str">
        <f t="shared" si="1"/>
        <v>Sunglasses</v>
      </c>
      <c r="L20" s="16" t="str">
        <f t="shared" si="2"/>
        <v>01-MAR</v>
      </c>
      <c r="M20" s="17" t="str">
        <f t="shared" si="3"/>
        <v>UK</v>
      </c>
      <c r="N20" s="14" t="str">
        <f t="shared" si="4"/>
        <v>Oakley Sunglasses</v>
      </c>
    </row>
    <row r="21" spans="1:14" ht="15.75" thickBot="1">
      <c r="A21" s="12" t="s">
        <v>82</v>
      </c>
      <c r="B21" s="7" t="s">
        <v>83</v>
      </c>
      <c r="C21" s="7" t="s">
        <v>84</v>
      </c>
      <c r="D21" s="7"/>
      <c r="E21" s="8">
        <v>10</v>
      </c>
      <c r="F21" s="7" t="s">
        <v>58</v>
      </c>
      <c r="G21" s="9" t="b">
        <f t="shared" si="5"/>
        <v>1</v>
      </c>
      <c r="H21" s="10" t="b">
        <f t="shared" si="6"/>
        <v>0</v>
      </c>
      <c r="I21" s="27">
        <f t="shared" si="7"/>
        <v>251</v>
      </c>
      <c r="J21" s="14" t="str">
        <f t="shared" si="0"/>
        <v>Outdoor</v>
      </c>
      <c r="K21" s="15" t="str">
        <f t="shared" si="1"/>
        <v>Camping Tent</v>
      </c>
      <c r="L21" s="16" t="str">
        <f t="shared" si="2"/>
        <v>14-AUG</v>
      </c>
      <c r="M21" s="17" t="str">
        <f t="shared" si="3"/>
        <v>US</v>
      </c>
      <c r="N21" s="14" t="str">
        <f t="shared" si="4"/>
        <v>Coleman Camping Tent</v>
      </c>
    </row>
    <row r="22" spans="1:14" ht="15.75" thickBot="1">
      <c r="A22" s="11" t="s">
        <v>85</v>
      </c>
      <c r="B22" s="5" t="s">
        <v>86</v>
      </c>
      <c r="C22" s="5" t="s">
        <v>87</v>
      </c>
      <c r="D22" s="6">
        <v>700</v>
      </c>
      <c r="E22" s="6">
        <v>50</v>
      </c>
      <c r="F22" s="5" t="s">
        <v>118</v>
      </c>
      <c r="G22" s="10" t="b">
        <f t="shared" si="5"/>
        <v>0</v>
      </c>
      <c r="H22" s="10" t="b">
        <f t="shared" si="6"/>
        <v>0</v>
      </c>
      <c r="I22" s="13">
        <f t="shared" si="7"/>
        <v>700</v>
      </c>
      <c r="J22" s="14" t="str">
        <f t="shared" si="0"/>
        <v>Electronicscs</v>
      </c>
      <c r="K22" s="15" t="str">
        <f t="shared" si="1"/>
        <v>Camera</v>
      </c>
      <c r="L22" s="16" t="str">
        <f t="shared" si="2"/>
        <v>14-MAY</v>
      </c>
      <c r="M22" s="17" t="str">
        <f t="shared" si="3"/>
        <v>RU</v>
      </c>
      <c r="N22" s="14" t="str">
        <f t="shared" si="4"/>
        <v>Nikon Camera</v>
      </c>
    </row>
    <row r="23" spans="1:14" ht="15.75" thickBot="1">
      <c r="A23" s="12" t="s">
        <v>88</v>
      </c>
      <c r="B23" s="7" t="s">
        <v>89</v>
      </c>
      <c r="C23" s="7" t="s">
        <v>90</v>
      </c>
      <c r="D23" s="8">
        <v>80</v>
      </c>
      <c r="E23" s="8">
        <v>20</v>
      </c>
      <c r="F23" s="7" t="s">
        <v>36</v>
      </c>
      <c r="G23" s="10" t="b">
        <f t="shared" si="5"/>
        <v>0</v>
      </c>
      <c r="H23" s="10" t="b">
        <f t="shared" si="6"/>
        <v>0</v>
      </c>
      <c r="I23" s="13">
        <f t="shared" si="7"/>
        <v>80</v>
      </c>
      <c r="J23" s="14" t="str">
        <f t="shared" si="0"/>
        <v>Kitchen</v>
      </c>
      <c r="K23" s="15" t="str">
        <f t="shared" si="1"/>
        <v>Microwave</v>
      </c>
      <c r="L23" s="16" t="str">
        <f t="shared" si="2"/>
        <v>09-JAN</v>
      </c>
      <c r="M23" s="17" t="str">
        <f t="shared" si="3"/>
        <v>CA</v>
      </c>
      <c r="N23" s="14" t="str">
        <f t="shared" si="4"/>
        <v>Panasonic Microwave</v>
      </c>
    </row>
    <row r="24" spans="1:14" ht="19.5" thickBot="1">
      <c r="A24" s="11" t="s">
        <v>91</v>
      </c>
      <c r="B24" s="5" t="s">
        <v>92</v>
      </c>
      <c r="C24" s="5" t="s">
        <v>93</v>
      </c>
      <c r="D24" s="6">
        <v>150</v>
      </c>
      <c r="E24" s="6">
        <v>30</v>
      </c>
      <c r="F24" s="5"/>
      <c r="G24" s="10" t="b">
        <f t="shared" si="5"/>
        <v>0</v>
      </c>
      <c r="H24" s="17" t="b">
        <f t="shared" si="6"/>
        <v>1</v>
      </c>
      <c r="I24" s="13">
        <f t="shared" si="7"/>
        <v>150</v>
      </c>
      <c r="J24" s="26" t="str">
        <f t="shared" si="0"/>
        <v>unknown</v>
      </c>
      <c r="K24" s="15" t="str">
        <f t="shared" si="1"/>
        <v>Fitness Tracker</v>
      </c>
      <c r="L24" s="16" t="str">
        <f t="shared" si="2"/>
        <v>19-JUL</v>
      </c>
      <c r="M24" s="17" t="str">
        <f t="shared" si="3"/>
        <v>BR</v>
      </c>
      <c r="N24" s="14" t="str">
        <f t="shared" si="4"/>
        <v>Xiaomi Fitness Tracker</v>
      </c>
    </row>
    <row r="25" spans="1:14" ht="15.75" thickBot="1">
      <c r="A25" s="11" t="s">
        <v>94</v>
      </c>
      <c r="B25" s="5" t="s">
        <v>95</v>
      </c>
      <c r="C25" s="5" t="s">
        <v>96</v>
      </c>
      <c r="D25" s="6">
        <v>800</v>
      </c>
      <c r="E25" s="6">
        <v>45</v>
      </c>
      <c r="F25" s="5" t="s">
        <v>118</v>
      </c>
      <c r="G25" s="10" t="b">
        <f t="shared" si="5"/>
        <v>0</v>
      </c>
      <c r="H25" s="10" t="b">
        <f t="shared" si="6"/>
        <v>0</v>
      </c>
      <c r="I25" s="13">
        <f t="shared" si="7"/>
        <v>800</v>
      </c>
      <c r="J25" s="14" t="str">
        <f t="shared" si="0"/>
        <v>Electronicscs</v>
      </c>
      <c r="K25" s="15" t="str">
        <f t="shared" si="1"/>
        <v>Smartphone</v>
      </c>
      <c r="L25" s="16" t="str">
        <f t="shared" si="2"/>
        <v>29-SEP</v>
      </c>
      <c r="M25" s="17" t="str">
        <f t="shared" si="3"/>
        <v>CA</v>
      </c>
      <c r="N25" s="14" t="str">
        <f t="shared" si="4"/>
        <v>Google Smartphone</v>
      </c>
    </row>
    <row r="26" spans="1:14" ht="15.75" thickBot="1">
      <c r="A26" s="12" t="s">
        <v>97</v>
      </c>
      <c r="B26" s="7" t="s">
        <v>80</v>
      </c>
      <c r="C26" s="7" t="s">
        <v>98</v>
      </c>
      <c r="D26" s="7"/>
      <c r="E26" s="8">
        <v>25</v>
      </c>
      <c r="F26" s="7" t="s">
        <v>32</v>
      </c>
      <c r="G26" s="9" t="b">
        <f t="shared" si="5"/>
        <v>1</v>
      </c>
      <c r="H26" s="10" t="b">
        <f t="shared" si="6"/>
        <v>0</v>
      </c>
      <c r="I26" s="27">
        <f t="shared" si="7"/>
        <v>130</v>
      </c>
      <c r="J26" s="14" t="str">
        <f t="shared" si="0"/>
        <v>Fashion</v>
      </c>
      <c r="K26" s="15" t="str">
        <f t="shared" si="1"/>
        <v>Sunglasses</v>
      </c>
      <c r="L26" s="16" t="str">
        <f t="shared" si="2"/>
        <v>03-JUN</v>
      </c>
      <c r="M26" s="17" t="str">
        <f t="shared" si="3"/>
        <v>CA</v>
      </c>
      <c r="N26" s="14" t="str">
        <f t="shared" si="4"/>
        <v>Ray-Ban Sunglasses</v>
      </c>
    </row>
    <row r="27" spans="1:14" ht="15.75" thickBot="1">
      <c r="A27" s="11" t="s">
        <v>99</v>
      </c>
      <c r="B27" s="5" t="s">
        <v>50</v>
      </c>
      <c r="C27" s="5" t="s">
        <v>100</v>
      </c>
      <c r="D27" s="6">
        <v>400</v>
      </c>
      <c r="E27" s="6">
        <v>40</v>
      </c>
      <c r="F27" s="5" t="s">
        <v>36</v>
      </c>
      <c r="G27" s="10" t="b">
        <f t="shared" si="5"/>
        <v>0</v>
      </c>
      <c r="H27" s="10" t="b">
        <f t="shared" si="6"/>
        <v>0</v>
      </c>
      <c r="I27" s="13">
        <f t="shared" si="7"/>
        <v>400</v>
      </c>
      <c r="J27" s="14" t="str">
        <f t="shared" si="0"/>
        <v>Kitchen</v>
      </c>
      <c r="K27" s="15" t="str">
        <f t="shared" si="1"/>
        <v>Blender</v>
      </c>
      <c r="L27" s="16" t="str">
        <f t="shared" si="2"/>
        <v>11-JUL</v>
      </c>
      <c r="M27" s="17" t="str">
        <f t="shared" si="3"/>
        <v>CA</v>
      </c>
      <c r="N27" s="14" t="str">
        <f t="shared" si="4"/>
        <v>Vitamix Blender</v>
      </c>
    </row>
    <row r="28" spans="1:14" ht="15.75" thickBot="1">
      <c r="A28" s="11" t="s">
        <v>101</v>
      </c>
      <c r="B28" s="5" t="s">
        <v>102</v>
      </c>
      <c r="C28" s="5" t="s">
        <v>103</v>
      </c>
      <c r="D28" s="6">
        <v>60</v>
      </c>
      <c r="E28" s="6">
        <v>30</v>
      </c>
      <c r="F28" s="5" t="s">
        <v>32</v>
      </c>
      <c r="G28" s="10" t="b">
        <f t="shared" si="5"/>
        <v>0</v>
      </c>
      <c r="H28" s="10" t="b">
        <f t="shared" si="6"/>
        <v>0</v>
      </c>
      <c r="I28" s="13">
        <f t="shared" si="7"/>
        <v>60</v>
      </c>
      <c r="J28" s="14" t="str">
        <f t="shared" si="0"/>
        <v>Fashion</v>
      </c>
      <c r="K28" s="15" t="str">
        <f t="shared" si="1"/>
        <v>Dress</v>
      </c>
      <c r="L28" s="16" t="str">
        <f t="shared" si="2"/>
        <v>07-MAR</v>
      </c>
      <c r="M28" s="17" t="str">
        <f t="shared" si="3"/>
        <v>CA</v>
      </c>
      <c r="N28" s="14" t="str">
        <f t="shared" si="4"/>
        <v>Zara Dress</v>
      </c>
    </row>
    <row r="29" spans="1:14" ht="15.75" thickBot="1">
      <c r="A29" s="12" t="s">
        <v>104</v>
      </c>
      <c r="B29" s="7" t="s">
        <v>105</v>
      </c>
      <c r="C29" s="7" t="s">
        <v>106</v>
      </c>
      <c r="D29" s="8">
        <v>40</v>
      </c>
      <c r="E29" s="8">
        <v>10</v>
      </c>
      <c r="F29" s="7" t="s">
        <v>36</v>
      </c>
      <c r="G29" s="10" t="b">
        <f t="shared" si="5"/>
        <v>0</v>
      </c>
      <c r="H29" s="10" t="b">
        <f t="shared" si="6"/>
        <v>0</v>
      </c>
      <c r="I29" s="13">
        <f t="shared" si="7"/>
        <v>40</v>
      </c>
      <c r="J29" s="14" t="str">
        <f t="shared" si="0"/>
        <v>Kitchen</v>
      </c>
      <c r="K29" s="15" t="str">
        <f t="shared" si="1"/>
        <v>Toaster</v>
      </c>
      <c r="L29" s="16" t="str">
        <f t="shared" si="2"/>
        <v>13-APR</v>
      </c>
      <c r="M29" s="17" t="str">
        <f t="shared" si="3"/>
        <v>CA</v>
      </c>
      <c r="N29" s="14" t="str">
        <f t="shared" si="4"/>
        <v>Hamilton Toaster</v>
      </c>
    </row>
    <row r="30" spans="1:14" ht="15.75" thickBot="1">
      <c r="A30" s="11" t="s">
        <v>107</v>
      </c>
      <c r="B30" s="5" t="s">
        <v>92</v>
      </c>
      <c r="C30" s="5" t="s">
        <v>108</v>
      </c>
      <c r="D30" s="6">
        <v>130</v>
      </c>
      <c r="E30" s="6">
        <v>5</v>
      </c>
      <c r="F30" s="5" t="s">
        <v>118</v>
      </c>
      <c r="G30" s="10" t="b">
        <f t="shared" si="5"/>
        <v>0</v>
      </c>
      <c r="H30" s="10" t="b">
        <f t="shared" si="6"/>
        <v>0</v>
      </c>
      <c r="I30" s="13">
        <f t="shared" si="7"/>
        <v>130</v>
      </c>
      <c r="J30" s="14" t="str">
        <f t="shared" si="0"/>
        <v>Electronicscs</v>
      </c>
      <c r="K30" s="15" t="str">
        <f t="shared" si="1"/>
        <v>Fitness Tracker</v>
      </c>
      <c r="L30" s="16" t="str">
        <f t="shared" si="2"/>
        <v>24-MAY</v>
      </c>
      <c r="M30" s="17" t="str">
        <f t="shared" si="3"/>
        <v>CA</v>
      </c>
      <c r="N30" s="14" t="str">
        <f t="shared" si="4"/>
        <v>Garmin Fitness Tracker</v>
      </c>
    </row>
    <row r="31" spans="1:14" ht="15.75" thickBot="1">
      <c r="A31" s="12" t="s">
        <v>109</v>
      </c>
      <c r="B31" s="7" t="s">
        <v>110</v>
      </c>
      <c r="C31" s="7" t="s">
        <v>111</v>
      </c>
      <c r="D31" s="8">
        <v>50</v>
      </c>
      <c r="E31" s="8">
        <v>50</v>
      </c>
      <c r="F31" s="7" t="s">
        <v>32</v>
      </c>
      <c r="G31" s="10" t="b">
        <f t="shared" si="5"/>
        <v>0</v>
      </c>
      <c r="H31" s="10" t="b">
        <f t="shared" si="6"/>
        <v>0</v>
      </c>
      <c r="I31" s="13">
        <f t="shared" si="7"/>
        <v>50</v>
      </c>
      <c r="J31" s="14" t="str">
        <f t="shared" si="0"/>
        <v>Fashion</v>
      </c>
      <c r="K31" s="15" t="str">
        <f t="shared" si="1"/>
        <v>Jeans</v>
      </c>
      <c r="L31" s="16" t="str">
        <f t="shared" si="2"/>
        <v>02-DEC</v>
      </c>
      <c r="M31" s="17" t="str">
        <f t="shared" si="3"/>
        <v>CA</v>
      </c>
      <c r="N31" s="14" t="str">
        <f t="shared" si="4"/>
        <v>Levi's Jeans</v>
      </c>
    </row>
    <row r="32" spans="1:14">
      <c r="A32" s="18" t="s">
        <v>112</v>
      </c>
      <c r="B32" s="19" t="s">
        <v>113</v>
      </c>
      <c r="C32" s="19" t="s">
        <v>114</v>
      </c>
      <c r="D32" s="20">
        <v>100</v>
      </c>
      <c r="E32" s="20">
        <v>20</v>
      </c>
      <c r="F32" s="19" t="s">
        <v>74</v>
      </c>
      <c r="G32" s="21" t="b">
        <f t="shared" si="5"/>
        <v>0</v>
      </c>
      <c r="H32" s="21" t="b">
        <f t="shared" si="6"/>
        <v>0</v>
      </c>
      <c r="I32" s="13">
        <f t="shared" si="7"/>
        <v>100</v>
      </c>
      <c r="J32" s="14" t="str">
        <f t="shared" si="0"/>
        <v>Accessories</v>
      </c>
      <c r="K32" s="15" t="str">
        <f t="shared" si="1"/>
        <v>Watch</v>
      </c>
      <c r="L32" s="16" t="str">
        <f t="shared" si="2"/>
        <v>09-JUL</v>
      </c>
      <c r="M32" s="17" t="str">
        <f t="shared" si="3"/>
        <v>FR</v>
      </c>
      <c r="N32" s="14" t="str">
        <f t="shared" si="4"/>
        <v>Casio Watch</v>
      </c>
    </row>
  </sheetData>
  <conditionalFormatting sqref="G2:H32">
    <cfRule type="containsText" dxfId="15" priority="5" operator="containsText" text="TRUE">
      <formula>NOT(ISERROR(SEARCH("TRUE",G2)))</formula>
    </cfRule>
  </conditionalFormatting>
  <conditionalFormatting sqref="I2:I32">
    <cfRule type="dataBar" priority="4">
      <dataBar>
        <cfvo type="min" val="0"/>
        <cfvo type="max" val="0"/>
        <color rgb="FF63C384"/>
      </dataBar>
    </cfRule>
  </conditionalFormatting>
  <conditionalFormatting sqref="J2:J32">
    <cfRule type="containsText" dxfId="14" priority="3" operator="containsText" text="ELectronicscs">
      <formula>NOT(ISERROR(SEARCH("ELectronicscs",J2)))</formula>
    </cfRule>
  </conditionalFormatting>
  <conditionalFormatting sqref="K2:K31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Assignment-2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mathan kumar</dc:creator>
  <cp:lastModifiedBy>mathan kumar</cp:lastModifiedBy>
  <dcterms:created xsi:type="dcterms:W3CDTF">2025-01-10T07:40:00Z</dcterms:created>
  <dcterms:modified xsi:type="dcterms:W3CDTF">2025-01-18T17:19:22Z</dcterms:modified>
</cp:coreProperties>
</file>